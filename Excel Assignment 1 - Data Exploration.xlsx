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meshkumar\Downloads\"/>
    </mc:Choice>
  </mc:AlternateContent>
  <xr:revisionPtr revIDLastSave="0" documentId="13_ncr:1_{BB098927-BC41-4CE4-B329-6D6E18E97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R1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N20" i="1"/>
  <c r="N12" i="1"/>
  <c r="L27" i="1"/>
  <c r="L20" i="1"/>
  <c r="L12" i="1"/>
</calcChain>
</file>

<file path=xl/sharedStrings.xml><?xml version="1.0" encoding="utf-8"?>
<sst xmlns="http://schemas.openxmlformats.org/spreadsheetml/2006/main" count="178" uniqueCount="129">
  <si>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</si>
  <si>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</si>
  <si>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</si>
  <si>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</si>
  <si>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</si>
  <si>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</si>
  <si>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</si>
  <si>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</si>
  <si>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</si>
  <si>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</si>
  <si>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</si>
  <si>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</si>
  <si>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</si>
  <si>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</si>
  <si>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</si>
  <si>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</si>
  <si>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</si>
  <si>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</si>
  <si>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</si>
  <si>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</si>
  <si>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</si>
  <si>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</si>
  <si>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</si>
  <si>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</si>
  <si>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</si>
  <si>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</si>
  <si>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</si>
  <si>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</si>
  <si>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</si>
  <si>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</si>
  <si>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</si>
  <si>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</si>
  <si>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</si>
  <si>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</si>
  <si>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</si>
  <si>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</si>
  <si>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</si>
  <si>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</si>
  <si>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</si>
  <si>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</si>
  <si>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</si>
  <si>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</si>
  <si>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</si>
  <si>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</si>
  <si>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</si>
  <si>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</si>
  <si>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</si>
  <si>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</si>
  <si>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</si>
  <si>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</si>
  <si>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</si>
  <si>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</si>
  <si>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</si>
  <si>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</si>
  <si>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</si>
  <si>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</si>
  <si>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</si>
  <si>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</si>
  <si>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</si>
  <si>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</si>
  <si>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</si>
  <si>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</si>
  <si>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</si>
  <si>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</si>
  <si>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</si>
  <si>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</si>
  <si>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</si>
  <si>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</si>
  <si>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</si>
  <si>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</si>
  <si>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</si>
  <si>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</si>
  <si>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</si>
  <si>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</si>
  <si>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</si>
  <si>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</si>
  <si>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</si>
  <si>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</si>
  <si>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</si>
  <si>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</si>
  <si>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</si>
  <si>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</si>
  <si>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</si>
  <si>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</si>
  <si>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</si>
  <si>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</si>
  <si>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</si>
  <si>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</si>
  <si>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</si>
  <si>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</si>
  <si>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</si>
  <si>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</si>
  <si>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</si>
  <si>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No:1</t>
  </si>
  <si>
    <t>1.Calculate the total price of all products in the dataset?</t>
  </si>
  <si>
    <t>Using Sum function to calculate the total products in the dataset.</t>
  </si>
  <si>
    <t>Using CountA function to calculate the total products in the dataset.</t>
  </si>
  <si>
    <t>CountA(B2:B35)</t>
  </si>
  <si>
    <t>Sum(D2:D35)</t>
  </si>
  <si>
    <t>2.How many products exist in the dataset?</t>
  </si>
  <si>
    <t>3.calculate the Average price of the products?</t>
  </si>
  <si>
    <t>Using Average funtion to calculate the Average price of the products.</t>
  </si>
  <si>
    <t>Average(D2:D35)</t>
  </si>
  <si>
    <t>Question No:2</t>
  </si>
  <si>
    <t>1.Identify the Minimum Price of all Products?</t>
  </si>
  <si>
    <t>Using Min function to calculate the minimum price</t>
  </si>
  <si>
    <t>Min(D2:D35)</t>
  </si>
  <si>
    <t>2.Identify the Maximum Price of all Products?</t>
  </si>
  <si>
    <t>Using Max function to calculate the maximum price</t>
  </si>
  <si>
    <t>Max(D2:D35)</t>
  </si>
  <si>
    <t>Price range</t>
  </si>
  <si>
    <t>Question No:3</t>
  </si>
  <si>
    <t>Logical IF Function</t>
  </si>
  <si>
    <t>Using IF Function to categorize the products of the dataset</t>
  </si>
  <si>
    <t>If(@price&gt;=500,"High price","Standard price")</t>
  </si>
  <si>
    <t>Question No:4</t>
  </si>
  <si>
    <t>Conditional Fuction</t>
  </si>
  <si>
    <t>Using SumIF Function to calculate the total price of products in electronics category</t>
  </si>
  <si>
    <t>sumif(F2:F35,"Electronics",D2:D35)</t>
  </si>
  <si>
    <t>Using CountIF Function to determine the nuimber of products less than 100</t>
  </si>
  <si>
    <t>Day</t>
  </si>
  <si>
    <t>Country code</t>
  </si>
  <si>
    <t>Month</t>
  </si>
  <si>
    <t>Question No:5</t>
  </si>
  <si>
    <t>Text Formatting</t>
  </si>
  <si>
    <t>Using Left Function</t>
  </si>
  <si>
    <t>left(product id,2)</t>
  </si>
  <si>
    <t>Using Right Function</t>
  </si>
  <si>
    <t>Right(Product id,2)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</si>
</sst>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6"/>
      <color rgb="FF000000"/>
      <name val="Aptos"/>
      <family val="2"/>
    </font>
    <font>
      <b/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5" fillId="5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/>
    <xf numFmtId="0" fontId="6" fillId="5" borderId="0" xfId="0" applyFont="1" applyFill="1"/>
    <xf numFmtId="0" fontId="10" fillId="0" borderId="0" xfId="0" applyFont="1"/>
    <xf numFmtId="165" fontId="11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vertical="top"/>
    </xf>
    <xf numFmtId="0" fontId="0" fillId="0" borderId="0" xfId="0" applyBorder="1"/>
    <xf numFmtId="0" fontId="9" fillId="5" borderId="0" xfId="0" applyFont="1" applyFill="1" applyAlignment="1">
      <alignment horizontal="center"/>
    </xf>
    <xf numFmtId="0" fontId="9" fillId="6" borderId="0" xfId="0" applyFont="1" applyFill="1" applyBorder="1" applyAlignment="1">
      <alignment horizontal="center" vertical="top"/>
    </xf>
    <xf numFmtId="0" fontId="3" fillId="3" borderId="0" xfId="0" applyFont="1" applyFill="1"/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837EE-18AA-4B43-A57E-3CD319F9A466}" name="Table1" displayName="Table1" ref="A1:J35" totalsRowShown="0" headerRowDxfId="4" dataDxfId="5">
  <autoFilter ref="A1:J35" xr:uid="{58E837EE-18AA-4B43-A57E-3CD319F9A466}"/>
  <tableColumns count="10">
    <tableColumn id="1" xr3:uid="{05319B98-68E2-48FF-B788-50F33359E972}" name="Product ID" dataDxfId="11"/>
    <tableColumn id="2" xr3:uid="{66B54B0A-5F95-4404-BF84-929CF44F3149}" name="Product Name" dataDxfId="10"/>
    <tableColumn id="3" xr3:uid="{D02A239D-5AF9-44FB-B80D-3BF89BE8AF2C}" name="Brand Name" dataDxfId="9"/>
    <tableColumn id="4" xr3:uid="{4B3E338C-9040-4F0E-ACCE-9E0B198DDEF4}" name="Price ($)" dataDxfId="8"/>
    <tableColumn id="5" xr3:uid="{71492E0B-2406-48C6-8E69-1DF1794ADE09}" name="Quantity" dataDxfId="7"/>
    <tableColumn id="6" xr3:uid="{FC36C49B-6D05-49B0-BD44-73333C8E63E7}" name="Category" dataDxfId="6"/>
    <tableColumn id="7" xr3:uid="{F5B566EF-6CBE-426E-A768-AC85F6E05932}" name="Price range" dataDxfId="3">
      <calculatedColumnFormula>IF(Table1[[#This Row],[Price ($)]]&gt;=500,"High price","Standard price")</calculatedColumnFormula>
    </tableColumn>
    <tableColumn id="8" xr3:uid="{E3C8BE56-5485-4D15-9BA3-4F647BFADB2B}" name="Day" dataDxfId="1">
      <calculatedColumnFormula>LEFT(Table1[[#This Row],[Product ID]],2)</calculatedColumnFormula>
    </tableColumn>
    <tableColumn id="9" xr3:uid="{AFF612B8-B24A-4A17-9B98-37D892DEC96C}" name="Country code" dataDxfId="0">
      <calculatedColumnFormula>RIGHT(Table1[[#This Row],[Product ID]],2)</calculatedColumnFormula>
    </tableColumn>
    <tableColumn id="10" xr3:uid="{FD0EDABD-4745-4F5B-B26F-A49FC753447C}" name="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activeCell="J2" sqref="J2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  <col min="7" max="7" width="15.44140625" bestFit="1" customWidth="1"/>
    <col min="12" max="12" width="64.21875" bestFit="1" customWidth="1"/>
    <col min="14" max="14" width="51.6640625" bestFit="1" customWidth="1"/>
    <col min="16" max="16" width="59.44140625" bestFit="1" customWidth="1"/>
    <col min="18" max="18" width="84.109375" bestFit="1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110</v>
      </c>
      <c r="H1" s="25" t="s">
        <v>120</v>
      </c>
      <c r="I1" s="25" t="s">
        <v>121</v>
      </c>
      <c r="J1" s="25" t="s">
        <v>122</v>
      </c>
      <c r="K1" s="25"/>
    </row>
    <row r="2" spans="1:18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IF(Table1[[#This Row],[Price ($)]]&gt;=500,"High price","Standard price")</f>
        <v>High price</v>
      </c>
      <c r="H2" s="24" t="str">
        <f>LEFT(Table1[[#This Row],[Product ID]],2)</f>
        <v>28</v>
      </c>
      <c r="I2" s="24" t="str">
        <f>RIGHT(Table1[[#This Row],[Product ID]],2)</f>
        <v>US</v>
      </c>
      <c r="J2" s="24"/>
      <c r="K2" s="24"/>
    </row>
    <row r="3" spans="1:18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>IF(Table1[[#This Row],[Price ($)]]&gt;=500,"High price","Standard price")</f>
        <v>Standard price</v>
      </c>
      <c r="H3" s="24" t="str">
        <f>LEFT(Table1[[#This Row],[Product ID]],2)</f>
        <v>15</v>
      </c>
      <c r="I3" s="24" t="str">
        <f>RIGHT(Table1[[#This Row],[Product ID]],2)</f>
        <v>US</v>
      </c>
      <c r="J3" s="24"/>
      <c r="K3" s="24"/>
    </row>
    <row r="4" spans="1:18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>IF(Table1[[#This Row],[Price ($)]]&gt;=500,"High price","Standard price")</f>
        <v>Standard price</v>
      </c>
      <c r="H4" s="24" t="str">
        <f>LEFT(Table1[[#This Row],[Product ID]],2)</f>
        <v>03</v>
      </c>
      <c r="I4" s="24" t="str">
        <f>RIGHT(Table1[[#This Row],[Product ID]],2)</f>
        <v>US</v>
      </c>
      <c r="J4" s="24"/>
      <c r="K4" s="24"/>
    </row>
    <row r="5" spans="1:18" ht="15.75" customHeight="1" x14ac:dyDescent="0.4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>IF(Table1[[#This Row],[Price ($)]]&gt;=500,"High price","Standard price")</f>
        <v>High price</v>
      </c>
      <c r="H5" s="24" t="str">
        <f>LEFT(Table1[[#This Row],[Product ID]],2)</f>
        <v>11</v>
      </c>
      <c r="I5" s="24" t="str">
        <f>RIGHT(Table1[[#This Row],[Product ID]],2)</f>
        <v>US</v>
      </c>
      <c r="J5" s="24"/>
      <c r="K5" s="24"/>
      <c r="L5" s="9" t="s">
        <v>93</v>
      </c>
      <c r="N5" s="16" t="s">
        <v>103</v>
      </c>
      <c r="P5" s="16" t="s">
        <v>111</v>
      </c>
      <c r="R5" s="16" t="s">
        <v>115</v>
      </c>
    </row>
    <row r="6" spans="1:18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>IF(Table1[[#This Row],[Price ($)]]&gt;=500,"High price","Standard price")</f>
        <v>Standard price</v>
      </c>
      <c r="H6" s="24" t="str">
        <f>LEFT(Table1[[#This Row],[Product ID]],2)</f>
        <v>22</v>
      </c>
      <c r="I6" s="24" t="str">
        <f>RIGHT(Table1[[#This Row],[Product ID]],2)</f>
        <v>US</v>
      </c>
      <c r="J6" s="24"/>
      <c r="K6" s="24"/>
    </row>
    <row r="7" spans="1:18" ht="15.75" customHeight="1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>IF(Table1[[#This Row],[Price ($)]]&gt;=500,"High price","Standard price")</f>
        <v>Standard price</v>
      </c>
      <c r="H7" s="24" t="str">
        <f>LEFT(Table1[[#This Row],[Product ID]],2)</f>
        <v>07</v>
      </c>
      <c r="I7" s="24" t="str">
        <f>RIGHT(Table1[[#This Row],[Product ID]],2)</f>
        <v>UK</v>
      </c>
      <c r="J7" s="24"/>
      <c r="K7" s="24"/>
      <c r="L7" s="12" t="s">
        <v>94</v>
      </c>
      <c r="N7" s="12" t="s">
        <v>104</v>
      </c>
      <c r="P7" s="12" t="s">
        <v>112</v>
      </c>
      <c r="R7" s="12" t="s">
        <v>116</v>
      </c>
    </row>
    <row r="8" spans="1:18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>IF(Table1[[#This Row],[Price ($)]]&gt;=500,"High price","Standard price")</f>
        <v>Standard price</v>
      </c>
      <c r="H8" s="24" t="str">
        <f>LEFT(Table1[[#This Row],[Product ID]],2)</f>
        <v>19</v>
      </c>
      <c r="I8" s="24" t="str">
        <f>RIGHT(Table1[[#This Row],[Product ID]],2)</f>
        <v>UK</v>
      </c>
      <c r="J8" s="24"/>
      <c r="K8" s="24"/>
    </row>
    <row r="9" spans="1:18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>IF(Table1[[#This Row],[Price ($)]]&gt;=500,"High price","Standard price")</f>
        <v>Standard price</v>
      </c>
      <c r="H9" s="24" t="str">
        <f>LEFT(Table1[[#This Row],[Product ID]],2)</f>
        <v>23</v>
      </c>
      <c r="I9" s="24" t="str">
        <f>RIGHT(Table1[[#This Row],[Product ID]],2)</f>
        <v>UK</v>
      </c>
      <c r="J9" s="24"/>
      <c r="K9" s="24"/>
      <c r="L9" s="11" t="s">
        <v>95</v>
      </c>
      <c r="N9" s="11" t="s">
        <v>105</v>
      </c>
      <c r="P9" s="19" t="s">
        <v>113</v>
      </c>
      <c r="R9" s="20" t="s">
        <v>117</v>
      </c>
    </row>
    <row r="10" spans="1:18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>IF(Table1[[#This Row],[Price ($)]]&gt;=500,"High price","Standard price")</f>
        <v>High price</v>
      </c>
      <c r="H10" s="24" t="str">
        <f>LEFT(Table1[[#This Row],[Product ID]],2)</f>
        <v>05</v>
      </c>
      <c r="I10" s="24" t="str">
        <f>RIGHT(Table1[[#This Row],[Product ID]],2)</f>
        <v>UK</v>
      </c>
      <c r="J10" s="24"/>
      <c r="K10" s="24"/>
    </row>
    <row r="11" spans="1:18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>IF(Table1[[#This Row],[Price ($)]]&gt;=500,"High price","Standard price")</f>
        <v>Standard price</v>
      </c>
      <c r="H11" s="24" t="str">
        <f>LEFT(Table1[[#This Row],[Product ID]],2)</f>
        <v>14</v>
      </c>
      <c r="I11" s="24" t="str">
        <f>RIGHT(Table1[[#This Row],[Product ID]],2)</f>
        <v>UK</v>
      </c>
      <c r="J11" s="24"/>
      <c r="K11" s="24"/>
      <c r="L11" s="7" t="s">
        <v>98</v>
      </c>
      <c r="N11" s="7" t="s">
        <v>106</v>
      </c>
      <c r="P11" s="6" t="s">
        <v>114</v>
      </c>
      <c r="R11" s="6" t="s">
        <v>118</v>
      </c>
    </row>
    <row r="12" spans="1:18" ht="15.75" customHeight="1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>IF(Table1[[#This Row],[Price ($)]]&gt;=500,"High price","Standard price")</f>
        <v>High price</v>
      </c>
      <c r="H12" s="24" t="str">
        <f>LEFT(Table1[[#This Row],[Product ID]],2)</f>
        <v>17</v>
      </c>
      <c r="I12" s="24" t="str">
        <f>RIGHT(Table1[[#This Row],[Product ID]],2)</f>
        <v>IN</v>
      </c>
      <c r="J12" s="24"/>
      <c r="K12" s="24"/>
      <c r="L12" s="13">
        <f>SUM(D2:D35)</f>
        <v>10100</v>
      </c>
      <c r="N12" s="17">
        <f>MIN(D2:D35)</f>
        <v>30</v>
      </c>
      <c r="P12" s="5"/>
      <c r="R12" s="22">
        <f>SUMIF(F2:F35,"Electronics",D2:D35)</f>
        <v>8050</v>
      </c>
    </row>
    <row r="13" spans="1:18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>IF(Table1[[#This Row],[Price ($)]]&gt;=500,"High price","Standard price")</f>
        <v>Standard price</v>
      </c>
      <c r="H13" s="24" t="str">
        <f>LEFT(Table1[[#This Row],[Product ID]],2)</f>
        <v>25</v>
      </c>
      <c r="I13" s="24" t="str">
        <f>RIGHT(Table1[[#This Row],[Product ID]],2)</f>
        <v>AU</v>
      </c>
      <c r="J13" s="24"/>
      <c r="K13" s="24"/>
    </row>
    <row r="14" spans="1:18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>IF(Table1[[#This Row],[Price ($)]]&gt;=500,"High price","Standard price")</f>
        <v>Standard price</v>
      </c>
      <c r="H14" s="24" t="str">
        <f>LEFT(Table1[[#This Row],[Product ID]],2)</f>
        <v>08</v>
      </c>
      <c r="I14" s="24" t="str">
        <f>RIGHT(Table1[[#This Row],[Product ID]],2)</f>
        <v>DE</v>
      </c>
      <c r="J14" s="24"/>
      <c r="K14" s="24"/>
    </row>
    <row r="15" spans="1:18" ht="15.75" customHeight="1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>IF(Table1[[#This Row],[Price ($)]]&gt;=500,"High price","Standard price")</f>
        <v>Standard price</v>
      </c>
      <c r="H15" s="24" t="str">
        <f>LEFT(Table1[[#This Row],[Product ID]],2)</f>
        <v>18</v>
      </c>
      <c r="I15" s="24" t="str">
        <f>RIGHT(Table1[[#This Row],[Product ID]],2)</f>
        <v>CA</v>
      </c>
      <c r="J15" s="24"/>
      <c r="K15" s="24"/>
      <c r="L15" s="12" t="s">
        <v>99</v>
      </c>
      <c r="N15" s="12" t="s">
        <v>107</v>
      </c>
      <c r="R15" s="20" t="s">
        <v>119</v>
      </c>
    </row>
    <row r="16" spans="1:18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>IF(Table1[[#This Row],[Price ($)]]&gt;=500,"High price","Standard price")</f>
        <v>Standard price</v>
      </c>
      <c r="H16" s="24" t="str">
        <f>LEFT(Table1[[#This Row],[Product ID]],2)</f>
        <v>16</v>
      </c>
      <c r="I16" s="24" t="str">
        <f>RIGHT(Table1[[#This Row],[Product ID]],2)</f>
        <v>ES</v>
      </c>
      <c r="J16" s="24"/>
      <c r="K16" s="24"/>
      <c r="R16" s="21"/>
    </row>
    <row r="17" spans="1:18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>IF(Table1[[#This Row],[Price ($)]]&gt;=500,"High price","Standard price")</f>
        <v>Standard price</v>
      </c>
      <c r="H17" s="24" t="str">
        <f>LEFT(Table1[[#This Row],[Product ID]],2)</f>
        <v>21</v>
      </c>
      <c r="I17" s="24" t="str">
        <f>RIGHT(Table1[[#This Row],[Product ID]],2)</f>
        <v>CA</v>
      </c>
      <c r="J17" s="24"/>
      <c r="K17" s="24"/>
      <c r="L17" s="11" t="s">
        <v>96</v>
      </c>
      <c r="N17" s="11" t="s">
        <v>108</v>
      </c>
      <c r="R17" s="23">
        <v>11</v>
      </c>
    </row>
    <row r="18" spans="1:18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>IF(Table1[[#This Row],[Price ($)]]&gt;=500,"High price","Standard price")</f>
        <v>Standard price</v>
      </c>
      <c r="H18" s="24" t="str">
        <f>LEFT(Table1[[#This Row],[Product ID]],2)</f>
        <v>20</v>
      </c>
      <c r="I18" s="24" t="str">
        <f>RIGHT(Table1[[#This Row],[Product ID]],2)</f>
        <v>CN</v>
      </c>
      <c r="J18" s="24"/>
      <c r="K18" s="24"/>
      <c r="R18" s="21"/>
    </row>
    <row r="19" spans="1:18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>IF(Table1[[#This Row],[Price ($)]]&gt;=500,"High price","Standard price")</f>
        <v>High price</v>
      </c>
      <c r="H19" s="24" t="str">
        <f>LEFT(Table1[[#This Row],[Product ID]],2)</f>
        <v>27</v>
      </c>
      <c r="I19" s="24" t="str">
        <f>RIGHT(Table1[[#This Row],[Product ID]],2)</f>
        <v>IT</v>
      </c>
      <c r="J19" s="24"/>
      <c r="K19" s="24"/>
      <c r="L19" s="7" t="s">
        <v>97</v>
      </c>
      <c r="N19" s="7" t="s">
        <v>109</v>
      </c>
      <c r="R19" s="21"/>
    </row>
    <row r="20" spans="1:18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>IF(Table1[[#This Row],[Price ($)]]&gt;=500,"High price","Standard price")</f>
        <v>Standard price</v>
      </c>
      <c r="H20" s="24" t="str">
        <f>LEFT(Table1[[#This Row],[Product ID]],2)</f>
        <v>01</v>
      </c>
      <c r="I20" s="24" t="str">
        <f>RIGHT(Table1[[#This Row],[Product ID]],2)</f>
        <v>UK</v>
      </c>
      <c r="J20" s="24"/>
      <c r="K20" s="24"/>
      <c r="L20" s="14">
        <f>COUNTA(B2:B35)</f>
        <v>34</v>
      </c>
      <c r="N20" s="14">
        <f>MAX(D2:D35)</f>
        <v>1000</v>
      </c>
      <c r="R20" s="16" t="s">
        <v>123</v>
      </c>
    </row>
    <row r="21" spans="1:18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>IF(Table1[[#This Row],[Price ($)]]&gt;=500,"High price","Standard price")</f>
        <v>Standard price</v>
      </c>
      <c r="H21" s="24" t="str">
        <f>LEFT(Table1[[#This Row],[Product ID]],2)</f>
        <v>14</v>
      </c>
      <c r="I21" s="24" t="str">
        <f>RIGHT(Table1[[#This Row],[Product ID]],2)</f>
        <v>US</v>
      </c>
      <c r="J21" s="24"/>
      <c r="K21" s="24"/>
    </row>
    <row r="22" spans="1:18" ht="15.75" customHeight="1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>IF(Table1[[#This Row],[Price ($)]]&gt;=500,"High price","Standard price")</f>
        <v>High price</v>
      </c>
      <c r="H22" s="24" t="str">
        <f>LEFT(Table1[[#This Row],[Product ID]],2)</f>
        <v>14</v>
      </c>
      <c r="I22" s="24" t="str">
        <f>RIGHT(Table1[[#This Row],[Product ID]],2)</f>
        <v>RU</v>
      </c>
      <c r="J22" s="24"/>
      <c r="K22" s="24"/>
      <c r="L22" s="12" t="s">
        <v>100</v>
      </c>
      <c r="R22" s="12" t="s">
        <v>124</v>
      </c>
    </row>
    <row r="23" spans="1:18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>IF(Table1[[#This Row],[Price ($)]]&gt;=500,"High price","Standard price")</f>
        <v>Standard price</v>
      </c>
      <c r="H23" s="24" t="str">
        <f>LEFT(Table1[[#This Row],[Product ID]],2)</f>
        <v>09</v>
      </c>
      <c r="I23" s="24" t="str">
        <f>RIGHT(Table1[[#This Row],[Product ID]],2)</f>
        <v>CA</v>
      </c>
      <c r="J23" s="24"/>
      <c r="K23" s="24"/>
    </row>
    <row r="24" spans="1:18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>IF(Table1[[#This Row],[Price ($)]]&gt;=500,"High price","Standard price")</f>
        <v>Standard price</v>
      </c>
      <c r="H24" s="24" t="str">
        <f>LEFT(Table1[[#This Row],[Product ID]],2)</f>
        <v>19</v>
      </c>
      <c r="I24" s="24" t="str">
        <f>RIGHT(Table1[[#This Row],[Product ID]],2)</f>
        <v>BR</v>
      </c>
      <c r="J24" s="24"/>
      <c r="K24" s="24"/>
      <c r="L24" s="8" t="s">
        <v>101</v>
      </c>
      <c r="R24" s="19" t="s">
        <v>125</v>
      </c>
    </row>
    <row r="25" spans="1:18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4" t="str">
        <f>IF(Table1[[#This Row],[Price ($)]]&gt;=500,"High price","Standard price")</f>
        <v>Standard price</v>
      </c>
      <c r="H25" s="24" t="str">
        <f>LEFT(Table1[[#This Row],[Product ID]],2)</f>
        <v>21</v>
      </c>
      <c r="I25" s="24" t="str">
        <f>RIGHT(Table1[[#This Row],[Product ID]],2)</f>
        <v>CA</v>
      </c>
      <c r="J25" s="24"/>
      <c r="K25" s="24"/>
    </row>
    <row r="26" spans="1:18" ht="15.75" customHeight="1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>IF(Table1[[#This Row],[Price ($)]]&gt;=500,"High price","Standard price")</f>
        <v>High price</v>
      </c>
      <c r="H26" s="24" t="str">
        <f>LEFT(Table1[[#This Row],[Product ID]],2)</f>
        <v>29</v>
      </c>
      <c r="I26" s="24" t="str">
        <f>RIGHT(Table1[[#This Row],[Product ID]],2)</f>
        <v>CA</v>
      </c>
      <c r="J26" s="24"/>
      <c r="K26" s="24"/>
      <c r="L26" s="7" t="s">
        <v>102</v>
      </c>
      <c r="R26" s="10" t="s">
        <v>126</v>
      </c>
    </row>
    <row r="27" spans="1:18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>IF(Table1[[#This Row],[Price ($)]]&gt;=500,"High price","Standard price")</f>
        <v>Standard price</v>
      </c>
      <c r="H27" s="24" t="str">
        <f>LEFT(Table1[[#This Row],[Product ID]],2)</f>
        <v>03</v>
      </c>
      <c r="I27" s="24" t="str">
        <f>RIGHT(Table1[[#This Row],[Product ID]],2)</f>
        <v>CA</v>
      </c>
      <c r="J27" s="24"/>
      <c r="K27" s="24"/>
      <c r="L27" s="15">
        <f>AVERAGE(D2:D35)</f>
        <v>297.05882352941177</v>
      </c>
    </row>
    <row r="28" spans="1:18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>IF(Table1[[#This Row],[Price ($)]]&gt;=500,"High price","Standard price")</f>
        <v>Standard price</v>
      </c>
      <c r="H28" s="24" t="str">
        <f>LEFT(Table1[[#This Row],[Product ID]],2)</f>
        <v>11</v>
      </c>
      <c r="I28" s="24" t="str">
        <f>RIGHT(Table1[[#This Row],[Product ID]],2)</f>
        <v>CA</v>
      </c>
      <c r="J28" s="24"/>
      <c r="K28" s="24"/>
      <c r="R28" s="8" t="s">
        <v>127</v>
      </c>
    </row>
    <row r="29" spans="1:18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4" t="str">
        <f>IF(Table1[[#This Row],[Price ($)]]&gt;=500,"High price","Standard price")</f>
        <v>Standard price</v>
      </c>
      <c r="H29" s="24" t="str">
        <f>LEFT(Table1[[#This Row],[Product ID]],2)</f>
        <v>16</v>
      </c>
      <c r="I29" s="24" t="str">
        <f>RIGHT(Table1[[#This Row],[Product ID]],2)</f>
        <v>ES</v>
      </c>
      <c r="J29" s="24"/>
      <c r="K29" s="24"/>
    </row>
    <row r="30" spans="1:18" ht="15.75" customHeight="1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>IF(Table1[[#This Row],[Price ($)]]&gt;=500,"High price","Standard price")</f>
        <v>Standard price</v>
      </c>
      <c r="H30" s="24" t="str">
        <f>LEFT(Table1[[#This Row],[Product ID]],2)</f>
        <v>07</v>
      </c>
      <c r="I30" s="24" t="str">
        <f>RIGHT(Table1[[#This Row],[Product ID]],2)</f>
        <v>CA</v>
      </c>
      <c r="J30" s="24"/>
      <c r="K30" s="24"/>
      <c r="R30" s="10" t="s">
        <v>128</v>
      </c>
    </row>
    <row r="31" spans="1:18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>IF(Table1[[#This Row],[Price ($)]]&gt;=500,"High price","Standard price")</f>
        <v>Standard price</v>
      </c>
      <c r="H31" s="24" t="str">
        <f>LEFT(Table1[[#This Row],[Product ID]],2)</f>
        <v>13</v>
      </c>
      <c r="I31" s="24" t="str">
        <f>RIGHT(Table1[[#This Row],[Product ID]],2)</f>
        <v>CA</v>
      </c>
      <c r="J31" s="24"/>
      <c r="K31" s="24"/>
    </row>
    <row r="32" spans="1:18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>IF(Table1[[#This Row],[Price ($)]]&gt;=500,"High price","Standard price")</f>
        <v>Standard price</v>
      </c>
      <c r="H32" s="24" t="str">
        <f>LEFT(Table1[[#This Row],[Product ID]],2)</f>
        <v>24</v>
      </c>
      <c r="I32" s="24" t="str">
        <f>RIGHT(Table1[[#This Row],[Product ID]],2)</f>
        <v>CA</v>
      </c>
      <c r="J32" s="24"/>
      <c r="K32" s="24"/>
    </row>
    <row r="33" spans="1:11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>IF(Table1[[#This Row],[Price ($)]]&gt;=500,"High price","Standard price")</f>
        <v>Standard price</v>
      </c>
      <c r="H33" s="24" t="str">
        <f>LEFT(Table1[[#This Row],[Product ID]],2)</f>
        <v>02</v>
      </c>
      <c r="I33" s="24" t="str">
        <f>RIGHT(Table1[[#This Row],[Product ID]],2)</f>
        <v>CA</v>
      </c>
      <c r="J33" s="24"/>
      <c r="K33" s="24"/>
    </row>
    <row r="34" spans="1:11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>IF(Table1[[#This Row],[Price ($)]]&gt;=500,"High price","Standard price")</f>
        <v>High price</v>
      </c>
      <c r="H34" s="24" t="str">
        <f>LEFT(Table1[[#This Row],[Product ID]],2)</f>
        <v>17</v>
      </c>
      <c r="I34" s="24" t="str">
        <f>RIGHT(Table1[[#This Row],[Product ID]],2)</f>
        <v>IN</v>
      </c>
      <c r="J34" s="24"/>
      <c r="K34" s="24"/>
    </row>
    <row r="35" spans="1:11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>IF(Table1[[#This Row],[Price ($)]]&gt;=500,"High price","Standard price")</f>
        <v>Standard price</v>
      </c>
      <c r="H35" s="24" t="str">
        <f>LEFT(Table1[[#This Row],[Product ID]],2)</f>
        <v>09</v>
      </c>
      <c r="I35" s="24" t="str">
        <f>RIGHT(Table1[[#This Row],[Product ID]],2)</f>
        <v>FR</v>
      </c>
      <c r="J35" s="24"/>
      <c r="K35" s="24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umasaji23@outlook.com</cp:lastModifiedBy>
  <dcterms:modified xsi:type="dcterms:W3CDTF">2026-05-25T17:35:56Z</dcterms:modified>
</cp:coreProperties>
</file>